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VENDAS" sheetId="1" r:id="rId5"/>
    <sheet state="visible" name="Vendas por Produto" sheetId="2" r:id="rId6"/>
    <sheet state="visible" name="Relatorios de venda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<sst xmlns="http://schemas.openxmlformats.org/spreadsheetml/2006/main" count="121" uniqueCount="50">
  <si>
    <t>Data</t>
  </si>
  <si>
    <t>Vendedor</t>
  </si>
  <si>
    <t>Produto</t>
  </si>
  <si>
    <t>Quantidade</t>
  </si>
  <si>
    <t>Preço Unitário</t>
  </si>
  <si>
    <t>Total</t>
  </si>
  <si>
    <t>Ana Souza</t>
  </si>
  <si>
    <t>Mouse USB</t>
  </si>
  <si>
    <t>Carlos Lima</t>
  </si>
  <si>
    <t>Teclado</t>
  </si>
  <si>
    <t>Bruno Alves</t>
  </si>
  <si>
    <t>Headset</t>
  </si>
  <si>
    <t>Mariana Rocha</t>
  </si>
  <si>
    <t>Monitor 24"</t>
  </si>
  <si>
    <t>Pedro Santos</t>
  </si>
  <si>
    <t>Notebook</t>
  </si>
  <si>
    <t>Juliana Freitas</t>
  </si>
  <si>
    <t>Mouse Pad</t>
  </si>
  <si>
    <t>Rafael Costa</t>
  </si>
  <si>
    <t>Webcam</t>
  </si>
  <si>
    <t>Lucas Martins</t>
  </si>
  <si>
    <t>SSD 1TB</t>
  </si>
  <si>
    <t>Fernanda Melo</t>
  </si>
  <si>
    <t>HD Externo</t>
  </si>
  <si>
    <t>Diego Ribeiro</t>
  </si>
  <si>
    <t>Cadeira Gamer</t>
  </si>
  <si>
    <t>Paula Teixeira</t>
  </si>
  <si>
    <t>Microfone</t>
  </si>
  <si>
    <t>André Barros</t>
  </si>
  <si>
    <t>Hub USB</t>
  </si>
  <si>
    <t>Camila Duarte</t>
  </si>
  <si>
    <t>Cabo HDMI</t>
  </si>
  <si>
    <t>Gustavo Nunes</t>
  </si>
  <si>
    <t>Placa de Vídeo</t>
  </si>
  <si>
    <t>Renata Pires</t>
  </si>
  <si>
    <t>Memória RAM 16GB</t>
  </si>
  <si>
    <t>Felipe Torres</t>
  </si>
  <si>
    <t>Fonte 650W</t>
  </si>
  <si>
    <t>SUM de Total</t>
  </si>
  <si>
    <t>Vendas por Produto</t>
  </si>
  <si>
    <t>Total geral</t>
  </si>
  <si>
    <t>Todal Geral 
Vendido</t>
  </si>
  <si>
    <t>Quantidade Total 
Vendida</t>
  </si>
  <si>
    <t>Ticket 
Médio</t>
  </si>
  <si>
    <t>Produto mais vendido</t>
  </si>
  <si>
    <t>Total por Vendedor</t>
  </si>
  <si>
    <t>Vendas por produto</t>
  </si>
  <si>
    <t xml:space="preserve">Quantidade </t>
  </si>
  <si>
    <t>Total dos produtos</t>
  </si>
  <si>
    <t>Valor vendido
Por vendedor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</si>
</sst>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1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0.0"/>
      <color rgb="FFCCCCCC"/>
      <name val="Arial"/>
      <scheme val="minor"/>
    </font>
    <font>
      <b/>
      <color rgb="FFCCCCCC"/>
      <name val="Arial"/>
      <scheme val="minor"/>
    </font>
    <font/>
    <font>
      <b/>
      <sz val="14.0"/>
      <color rgb="FFD9D9D9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</font>
    <font>
      <i/>
      <color theme="1"/>
      <name val="Arial"/>
    </font>
    <font>
      <color rgb="FFFFFFFF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CFE2F3"/>
        <bgColor rgb="FFCFE2F3"/>
      </patternFill>
    </fill>
    <fill>
      <patternFill patternType="solid">
        <fgColor rgb="FFF4F6F8"/>
        <bgColor rgb="FFF4F6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165" xfId="0" applyBorder="1" applyFont="1" applyNumberFormat="1"/>
    <xf borderId="0" fillId="3" fontId="3" numFmtId="0" xfId="0" applyFont="1"/>
    <xf borderId="1" fillId="4" fontId="3" numFmtId="164" xfId="0" applyAlignment="1" applyBorder="1" applyFill="1" applyFont="1" applyNumberFormat="1">
      <alignment readingOrder="0"/>
    </xf>
    <xf borderId="1" fillId="4" fontId="3" numFmtId="0" xfId="0" applyAlignment="1" applyBorder="1" applyFont="1">
      <alignment readingOrder="0"/>
    </xf>
    <xf borderId="1" fillId="4" fontId="3" numFmtId="165" xfId="0" applyAlignment="1" applyBorder="1" applyFont="1" applyNumberFormat="1">
      <alignment readingOrder="0"/>
    </xf>
    <xf borderId="1" fillId="4" fontId="3" numFmtId="165" xfId="0" applyBorder="1" applyFont="1" applyNumberFormat="1"/>
    <xf borderId="0" fillId="3" fontId="4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5" xfId="0" applyFont="1" applyNumberFormat="1"/>
    <xf borderId="1" fillId="2" fontId="6" numFmtId="0" xfId="0" applyAlignment="1" applyBorder="1" applyFont="1">
      <alignment horizontal="center" readingOrder="0"/>
    </xf>
    <xf borderId="1" fillId="2" fontId="7" numFmtId="0" xfId="0" applyAlignment="1" applyBorder="1" applyFont="1">
      <alignment readingOrder="0"/>
    </xf>
    <xf borderId="1" fillId="0" fontId="3" numFmtId="165" xfId="0" applyBorder="1" applyFont="1" applyNumberFormat="1"/>
    <xf borderId="1" fillId="0" fontId="3" numFmtId="0" xfId="0" applyBorder="1" applyFont="1"/>
    <xf borderId="2" fillId="5" fontId="4" numFmtId="0" xfId="0" applyAlignment="1" applyBorder="1" applyFill="1" applyFont="1">
      <alignment readingOrder="0"/>
    </xf>
    <xf borderId="3" fillId="0" fontId="8" numFmtId="0" xfId="0" applyBorder="1" applyFont="1"/>
    <xf borderId="2" fillId="2" fontId="9" numFmtId="0" xfId="0" applyAlignment="1" applyBorder="1" applyFont="1">
      <alignment horizontal="center" readingOrder="0"/>
    </xf>
    <xf borderId="2" fillId="2" fontId="10" numFmtId="0" xfId="0" applyAlignment="1" applyBorder="1" applyFont="1">
      <alignment readingOrder="0"/>
    </xf>
    <xf borderId="1" fillId="5" fontId="11" numFmtId="0" xfId="0" applyAlignment="1" applyBorder="1" applyFont="1">
      <alignment horizontal="center" vertical="bottom"/>
    </xf>
    <xf borderId="1" fillId="6" fontId="12" numFmtId="0" xfId="0" applyAlignment="1" applyBorder="1" applyFill="1" applyFont="1">
      <alignment vertical="bottom"/>
    </xf>
    <xf borderId="1" fillId="7" fontId="13" numFmtId="0" xfId="0" applyAlignment="1" applyBorder="1" applyFill="1" applyFont="1">
      <alignment readingOrder="0" vertical="bottom"/>
    </xf>
    <xf borderId="1" fillId="8" fontId="3" numFmtId="0" xfId="0" applyAlignment="1" applyBorder="1" applyFill="1" applyFont="1">
      <alignment horizontal="center"/>
    </xf>
    <xf borderId="1" fillId="0" fontId="3" numFmtId="0" xfId="0" applyBorder="1" applyFont="1"/>
    <xf borderId="1" fillId="9" fontId="14" numFmtId="0" xfId="0" applyAlignment="1" applyBorder="1" applyFill="1" applyFont="1">
      <alignment vertical="bottom"/>
    </xf>
    <xf borderId="1" fillId="3" fontId="14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6" fontId="11" numFmtId="0" xfId="0" applyAlignment="1" applyBorder="1" applyFont="1">
      <alignment vertical="bottom"/>
    </xf>
    <xf borderId="1" fillId="6" fontId="11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4">
    <tableStyle count="3" pivot="0" name="BASE_VENDAS-style">
      <tableStyleElement dxfId="1" type="headerRow"/>
      <tableStyleElement dxfId="2" type="firstRowStripe"/>
      <tableStyleElement dxfId="3" type="secondRowStripe"/>
    </tableStyle>
    <tableStyle count="3" pivot="0" name="BASE_VENDAS-style 2">
      <tableStyleElement dxfId="4" type="headerRow"/>
      <tableStyleElement dxfId="2" type="firstRowStripe"/>
      <tableStyleElement dxfId="5" type="secondRowStripe"/>
    </tableStyle>
    <tableStyle count="2" pivot="0" name="Relatorios de vendas-style">
      <tableStyleElement dxfId="2" type="firstRowStripe"/>
      <tableStyleElement dxfId="5" type="secondRowStripe"/>
    </tableStyle>
    <tableStyle count="3" pivot="0" name="Relatorios de vendas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Vendido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'Vendas por Produto'!$B$1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'Vendas por Produto'!$A$2:$A$18</c:f>
            </c:strRef>
          </c:cat>
          <c:val>
            <c:numRef>
              <c:f>'Vendas por Produto'!$B$2:$B$18</c:f>
              <c:numCache/>
            </c:numRef>
          </c:val>
        </c:ser>
        <c:axId val="1900377952"/>
        <c:axId val="1384055555"/>
      </c:bar3DChart>
      <c:catAx>
        <c:axId val="190037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 por 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055555"/>
      </c:catAx>
      <c:valAx>
        <c:axId val="1384055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377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7143750" cy="36671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7" sheet="BASE_VENDAS"/>
  </cacheSource>
  <cacheFields>
    <cacheField name="Data" numFmtId="164">
      <sharedItems containsSemiMixedTypes="0" containsDate="1" containsString="0"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</sharedItems>
    </cacheField>
    <cacheField name="Vendedor" numFmtId="0">
      <sharedItems>
        <s v="Ana Souza"/>
        <s v="Carlos Lima"/>
        <s v="Bruno Alves"/>
        <s v="Mariana Rocha"/>
        <s v="Pedro Santos"/>
        <s v="Juliana Freitas"/>
        <s v="Rafael Costa"/>
        <s v="Lucas Martins"/>
        <s v="Fernanda Melo"/>
        <s v="Diego Ribeiro"/>
        <s v="Paula Teixeira"/>
        <s v="André Barros"/>
        <s v="Camila Duarte"/>
        <s v="Gustavo Nunes"/>
        <s v="Renata Pires"/>
        <s v="Felipe Torres"/>
      </sharedItems>
    </cacheField>
    <cacheField name="Produto" numFmtId="0">
      <sharedItems>
        <s v="Mouse USB"/>
        <s v="Teclado"/>
        <s v="Headset"/>
        <s v="Monitor 24&quot;"/>
        <s v="Notebook"/>
        <s v="Mouse Pad"/>
        <s v="Webcam"/>
        <s v="SSD 1TB"/>
        <s v="HD Externo"/>
        <s v="Cadeira Gamer"/>
        <s v="Microfone"/>
        <s v="Hub USB"/>
        <s v="Cabo HDMI"/>
        <s v="Placa de Vídeo"/>
        <s v="Memória RAM 16GB"/>
        <s v="Fonte 650W"/>
      </sharedItems>
    </cacheField>
    <cacheField name="Quantidade" numFmtId="0">
      <sharedItems containsSemiMixedTypes="0" containsString="0" containsNumber="1" containsInteger="1">
        <n v="3.0"/>
        <n v="2.0"/>
        <n v="1.0"/>
        <n v="5.0"/>
        <n v="4.0"/>
        <n v="6.0"/>
        <n v="7.0"/>
      </sharedItems>
    </cacheField>
    <cacheField name="Preço Unitário" numFmtId="165">
      <sharedItems containsSemiMixedTypes="0" containsString="0" containsNumber="1" containsInteger="1">
        <n v="45.0"/>
        <n v="120.0"/>
        <n v="230.0"/>
        <n v="980.0"/>
        <n v="3200.0"/>
        <n v="25.0"/>
        <n v="310.0"/>
        <n v="540.0"/>
        <n v="420.0"/>
        <n v="1450.0"/>
        <n v="380.0"/>
        <n v="60.0"/>
        <n v="35.0"/>
        <n v="2800.0"/>
        <n v="260.0"/>
        <n v="320.0"/>
      </sharedItems>
    </cacheField>
    <cacheField name="Total" numFmtId="165">
      <sharedItems containsSemiMixedTypes="0" containsString="0" containsNumber="1" containsInteger="1">
        <n v="135.0"/>
        <n v="240.0"/>
        <n v="230.0"/>
        <n v="980.0"/>
        <n v="3200.0"/>
        <n v="125.0"/>
        <n v="620.0"/>
        <n v="540.0"/>
        <n v="840.0"/>
        <n v="1450.0"/>
        <n v="380.0"/>
        <n v="210.0"/>
        <n v="2800.0"/>
        <n v="520.0"/>
        <n v="224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das por Produto" cacheId="0" dataCaption="" compact="0" compactData="0">
  <location ref="A1:B18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to" axis="axisRow" compact="0" outline="0" multipleItemSelectionAllowed="1" showAll="0" sortType="ascending">
      <items>
        <item x="12"/>
        <item x="9"/>
        <item x="15"/>
        <item x="8"/>
        <item x="2"/>
        <item x="11"/>
        <item x="14"/>
        <item x="10"/>
        <item x="3"/>
        <item x="5"/>
        <item x="0"/>
        <item x="4"/>
        <item x="13"/>
        <item x="7"/>
        <item x="1"/>
        <item x="6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dataFields>
    <dataField name="SUM of Total" fld="5" baseField="0"/>
  </dataFields>
</pivotTableDefinition>
</file>

<file path=xl/pivotTables/pivotTable2.xml><?xml version="1.0" encoding="utf-8"?>
<pivotTableDefinition xmlns="http://schemas.openxmlformats.org/spreadsheetml/2006/main" name="Relatorios de vendas" cacheId="0" dataCaption="" compact="0" compactData="0">
  <location ref="D5:E22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ndedo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"/>
  </rowFields>
  <dataFields>
    <dataField name="Total dos produtos" fld="5" baseField="0"/>
  </dataFields>
</pivotTableDefinition>
</file>

<file path=xl/tables/table1.xml><?xml version="1.0" encoding="utf-8"?>
<table xmlns="http://schemas.openxmlformats.org/spreadsheetml/2006/main" ref="A1:F16" displayName="Table_1" name="Table_1" id="1">
  <tableColumns count="6">
    <tableColumn name="Data" id="1"/>
    <tableColumn name="Vendedor" id="2"/>
    <tableColumn name="Produto" id="3"/>
    <tableColumn name="Quantidade" id="4"/>
    <tableColumn name="Preço Unitário" id="5"/>
    <tableColumn name="Total" id="6"/>
  </tableColumns>
  <tableStyleInfo name="BASE_VENDAS-style" showColumnStripes="0" showFirstColumn="1" showLastColumn="1" showRowStripes="1"/>
</table>
</file>

<file path=xl/tables/table2.xml><?xml version="1.0" encoding="utf-8"?>
<table xmlns="http://schemas.openxmlformats.org/spreadsheetml/2006/main" headerRowCount="0" ref="A21:B38" displayName="Table_2" name="Table_2" id="2">
  <tableColumns count="2">
    <tableColumn name="Column1" id="1"/>
    <tableColumn name="Column2" id="2"/>
  </tableColumns>
  <tableStyleInfo name="BASE_VENDA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5:B5" displayName="Table_3" name="Table_3" id="3">
  <tableColumns count="2">
    <tableColumn name="Column1" id="1"/>
    <tableColumn name="Column2" id="2"/>
  </tableColumns>
  <tableStyleInfo name="Relatorios de vendas-style" showColumnStripes="0" showFirstColumn="1" showLastColumn="1" showRowStripes="1"/>
</table>
</file>

<file path=xl/tables/table4.xml><?xml version="1.0" encoding="utf-8"?>
<table xmlns="http://schemas.openxmlformats.org/spreadsheetml/2006/main" headerRowCount="0" ref="A6:B22" displayName="Table_4" name="Table_4" id="4">
  <tableColumns count="2">
    <tableColumn name="Column1" id="1"/>
    <tableColumn name="Column2" id="2"/>
  </tableColumns>
  <tableStyleInfo name="Relatorios de venda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/>
    </row>
    <row r="2">
      <c r="A2" s="3">
        <v>46024.0</v>
      </c>
      <c r="B2" s="4" t="s">
        <v>6</v>
      </c>
      <c r="C2" s="4" t="s">
        <v>7</v>
      </c>
      <c r="D2" s="4">
        <v>3.0</v>
      </c>
      <c r="E2" s="5">
        <v>45.0</v>
      </c>
      <c r="F2" s="6">
        <f t="shared" ref="F2:F17" si="1">E2*D2</f>
        <v>135</v>
      </c>
      <c r="I2" s="7"/>
      <c r="J2" s="7"/>
    </row>
    <row r="3">
      <c r="A3" s="3">
        <v>46025.0</v>
      </c>
      <c r="B3" s="4" t="s">
        <v>8</v>
      </c>
      <c r="C3" s="4" t="s">
        <v>9</v>
      </c>
      <c r="D3" s="4">
        <v>2.0</v>
      </c>
      <c r="E3" s="5">
        <v>120.0</v>
      </c>
      <c r="F3" s="6">
        <f t="shared" si="1"/>
        <v>240</v>
      </c>
      <c r="I3" s="7"/>
      <c r="J3" s="7"/>
    </row>
    <row r="4">
      <c r="A4" s="3">
        <v>46025.0</v>
      </c>
      <c r="B4" s="4" t="s">
        <v>10</v>
      </c>
      <c r="C4" s="4" t="s">
        <v>11</v>
      </c>
      <c r="D4" s="4">
        <v>1.0</v>
      </c>
      <c r="E4" s="5">
        <v>230.0</v>
      </c>
      <c r="F4" s="6">
        <f t="shared" si="1"/>
        <v>230</v>
      </c>
      <c r="I4" s="7"/>
      <c r="J4" s="7"/>
    </row>
    <row r="5">
      <c r="A5" s="3">
        <v>46026.0</v>
      </c>
      <c r="B5" s="4" t="s">
        <v>12</v>
      </c>
      <c r="C5" s="4" t="s">
        <v>13</v>
      </c>
      <c r="D5" s="4">
        <v>1.0</v>
      </c>
      <c r="E5" s="5">
        <v>980.0</v>
      </c>
      <c r="F5" s="6">
        <f t="shared" si="1"/>
        <v>980</v>
      </c>
      <c r="I5" s="7"/>
      <c r="J5" s="7"/>
    </row>
    <row r="6">
      <c r="A6" s="3">
        <v>46026.0</v>
      </c>
      <c r="B6" s="4" t="s">
        <v>14</v>
      </c>
      <c r="C6" s="4" t="s">
        <v>15</v>
      </c>
      <c r="D6" s="4">
        <v>1.0</v>
      </c>
      <c r="E6" s="5">
        <v>3200.0</v>
      </c>
      <c r="F6" s="6">
        <f t="shared" si="1"/>
        <v>3200</v>
      </c>
      <c r="I6" s="7"/>
      <c r="J6" s="7"/>
    </row>
    <row r="7">
      <c r="A7" s="3">
        <v>46027.0</v>
      </c>
      <c r="B7" s="4" t="s">
        <v>16</v>
      </c>
      <c r="C7" s="4" t="s">
        <v>17</v>
      </c>
      <c r="D7" s="4">
        <v>5.0</v>
      </c>
      <c r="E7" s="5">
        <v>25.0</v>
      </c>
      <c r="F7" s="6">
        <f t="shared" si="1"/>
        <v>125</v>
      </c>
      <c r="I7" s="7"/>
      <c r="J7" s="7"/>
    </row>
    <row r="8">
      <c r="A8" s="3">
        <v>46027.0</v>
      </c>
      <c r="B8" s="4" t="s">
        <v>18</v>
      </c>
      <c r="C8" s="4" t="s">
        <v>19</v>
      </c>
      <c r="D8" s="4">
        <v>2.0</v>
      </c>
      <c r="E8" s="5">
        <v>310.0</v>
      </c>
      <c r="F8" s="6">
        <f t="shared" si="1"/>
        <v>620</v>
      </c>
      <c r="I8" s="7"/>
      <c r="J8" s="7"/>
    </row>
    <row r="9">
      <c r="A9" s="3">
        <v>46028.0</v>
      </c>
      <c r="B9" s="4" t="s">
        <v>20</v>
      </c>
      <c r="C9" s="4" t="s">
        <v>21</v>
      </c>
      <c r="D9" s="4">
        <v>1.0</v>
      </c>
      <c r="E9" s="5">
        <v>540.0</v>
      </c>
      <c r="F9" s="6">
        <f t="shared" si="1"/>
        <v>540</v>
      </c>
      <c r="I9" s="7"/>
      <c r="J9" s="7"/>
    </row>
    <row r="10">
      <c r="A10" s="3">
        <v>46028.0</v>
      </c>
      <c r="B10" s="4" t="s">
        <v>22</v>
      </c>
      <c r="C10" s="4" t="s">
        <v>23</v>
      </c>
      <c r="D10" s="4">
        <v>2.0</v>
      </c>
      <c r="E10" s="5">
        <v>420.0</v>
      </c>
      <c r="F10" s="6">
        <f t="shared" si="1"/>
        <v>840</v>
      </c>
      <c r="I10" s="7"/>
      <c r="J10" s="7"/>
    </row>
    <row r="11">
      <c r="A11" s="3">
        <v>46029.0</v>
      </c>
      <c r="B11" s="4" t="s">
        <v>24</v>
      </c>
      <c r="C11" s="4" t="s">
        <v>25</v>
      </c>
      <c r="D11" s="4">
        <v>1.0</v>
      </c>
      <c r="E11" s="5">
        <v>1450.0</v>
      </c>
      <c r="F11" s="6">
        <f t="shared" si="1"/>
        <v>1450</v>
      </c>
      <c r="I11" s="7"/>
      <c r="J11" s="7"/>
    </row>
    <row r="12">
      <c r="A12" s="3">
        <v>46029.0</v>
      </c>
      <c r="B12" s="4" t="s">
        <v>26</v>
      </c>
      <c r="C12" s="4" t="s">
        <v>27</v>
      </c>
      <c r="D12" s="4">
        <v>1.0</v>
      </c>
      <c r="E12" s="5">
        <v>380.0</v>
      </c>
      <c r="F12" s="6">
        <f t="shared" si="1"/>
        <v>380</v>
      </c>
      <c r="I12" s="7"/>
      <c r="J12" s="7"/>
    </row>
    <row r="13">
      <c r="A13" s="3">
        <v>46030.0</v>
      </c>
      <c r="B13" s="4" t="s">
        <v>28</v>
      </c>
      <c r="C13" s="4" t="s">
        <v>29</v>
      </c>
      <c r="D13" s="4">
        <v>4.0</v>
      </c>
      <c r="E13" s="5">
        <v>60.0</v>
      </c>
      <c r="F13" s="6">
        <f t="shared" si="1"/>
        <v>240</v>
      </c>
      <c r="I13" s="7"/>
      <c r="J13" s="7"/>
    </row>
    <row r="14">
      <c r="A14" s="3">
        <v>46030.0</v>
      </c>
      <c r="B14" s="4" t="s">
        <v>30</v>
      </c>
      <c r="C14" s="4" t="s">
        <v>31</v>
      </c>
      <c r="D14" s="4">
        <v>6.0</v>
      </c>
      <c r="E14" s="5">
        <v>35.0</v>
      </c>
      <c r="F14" s="6">
        <f t="shared" si="1"/>
        <v>210</v>
      </c>
      <c r="I14" s="7"/>
      <c r="J14" s="7"/>
    </row>
    <row r="15">
      <c r="A15" s="3">
        <v>46031.0</v>
      </c>
      <c r="B15" s="4" t="s">
        <v>32</v>
      </c>
      <c r="C15" s="4" t="s">
        <v>33</v>
      </c>
      <c r="D15" s="4">
        <v>1.0</v>
      </c>
      <c r="E15" s="5">
        <v>2800.0</v>
      </c>
      <c r="F15" s="6">
        <f t="shared" si="1"/>
        <v>2800</v>
      </c>
      <c r="I15" s="7"/>
      <c r="J15" s="7"/>
    </row>
    <row r="16">
      <c r="A16" s="3">
        <v>46031.0</v>
      </c>
      <c r="B16" s="4" t="s">
        <v>34</v>
      </c>
      <c r="C16" s="4" t="s">
        <v>35</v>
      </c>
      <c r="D16" s="4">
        <v>2.0</v>
      </c>
      <c r="E16" s="5">
        <v>260.0</v>
      </c>
      <c r="F16" s="6">
        <f t="shared" si="1"/>
        <v>520</v>
      </c>
      <c r="I16" s="7"/>
      <c r="J16" s="7"/>
    </row>
    <row r="17">
      <c r="A17" s="8">
        <v>46032.0</v>
      </c>
      <c r="B17" s="9" t="s">
        <v>36</v>
      </c>
      <c r="C17" s="9" t="s">
        <v>37</v>
      </c>
      <c r="D17" s="9">
        <v>7.0</v>
      </c>
      <c r="E17" s="10">
        <v>320.0</v>
      </c>
      <c r="F17" s="11">
        <f t="shared" si="1"/>
        <v>2240</v>
      </c>
      <c r="I17" s="7"/>
      <c r="J17" s="7"/>
    </row>
    <row r="18">
      <c r="I18" s="7"/>
      <c r="J18" s="7"/>
    </row>
    <row r="19">
      <c r="I19" s="7"/>
      <c r="J19" s="7"/>
    </row>
    <row r="20">
      <c r="A20" s="12"/>
      <c r="I20" s="7"/>
      <c r="J20" s="7"/>
    </row>
    <row r="21">
      <c r="A21" s="13"/>
      <c r="B21" s="13"/>
    </row>
    <row r="22">
      <c r="A22" s="14"/>
      <c r="B22" s="7"/>
    </row>
    <row r="23">
      <c r="A23" s="14"/>
      <c r="B23" s="7"/>
    </row>
    <row r="24">
      <c r="A24" s="14"/>
      <c r="B24" s="7"/>
    </row>
    <row r="25">
      <c r="A25" s="14"/>
      <c r="B25" s="7"/>
    </row>
    <row r="26">
      <c r="A26" s="14"/>
      <c r="B26" s="7"/>
    </row>
    <row r="27">
      <c r="A27" s="14"/>
      <c r="B27" s="7"/>
    </row>
    <row r="28">
      <c r="A28" s="14"/>
      <c r="B28" s="7"/>
    </row>
    <row r="29">
      <c r="A29" s="14"/>
      <c r="B29" s="7"/>
    </row>
    <row r="30">
      <c r="A30" s="14"/>
      <c r="B30" s="7"/>
    </row>
    <row r="31">
      <c r="A31" s="14"/>
      <c r="B31" s="7"/>
    </row>
    <row r="32">
      <c r="A32" s="14"/>
      <c r="B32" s="7"/>
    </row>
    <row r="33">
      <c r="A33" s="14"/>
      <c r="B33" s="7"/>
    </row>
    <row r="34">
      <c r="A34" s="14"/>
      <c r="B34" s="7"/>
    </row>
    <row r="35">
      <c r="A35" s="14"/>
      <c r="B35" s="7"/>
    </row>
    <row r="36">
      <c r="A36" s="14"/>
      <c r="B36" s="7"/>
    </row>
    <row r="37">
      <c r="A37" s="14"/>
      <c r="B37" s="7"/>
    </row>
    <row r="38">
      <c r="A38" s="14"/>
      <c r="B38" s="7"/>
    </row>
  </sheetData>
  <mergeCells count="2">
    <mergeCell ref="I1:J1"/>
    <mergeCell ref="A20:B20"/>
  </mergeCells>
  <conditionalFormatting sqref="F2:F17">
    <cfRule type="cellIs" dxfId="6" priority="1" operator="lessThanOrEqual">
      <formula>400</formula>
    </cfRule>
  </conditionalFormatting>
  <conditionalFormatting sqref="F2:F17">
    <cfRule type="cellIs" dxfId="7" priority="2" operator="greaterThanOrEqual">
      <formula>380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D1" s="16" t="s">
        <v>39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4.13"/>
    <col customWidth="1" min="3" max="3" width="13.0"/>
    <col customWidth="1" min="5" max="5" width="14.75"/>
  </cols>
  <sheetData>
    <row r="1">
      <c r="A1" s="18" t="s">
        <v>41</v>
      </c>
      <c r="B1" s="19" t="s">
        <v>42</v>
      </c>
      <c r="C1" s="19" t="s">
        <v>43</v>
      </c>
    </row>
    <row r="2">
      <c r="A2" s="20">
        <f>SUM(BASE_VENDAS!F2:F17,0)</f>
        <v>14750</v>
      </c>
      <c r="B2" s="21">
        <f>SUM(BASE_VENDAS!D2:D17,0)</f>
        <v>40</v>
      </c>
      <c r="C2" s="20">
        <f>AVERAGE(BASE_VENDAS!F2:F17,0)</f>
        <v>867.6470588</v>
      </c>
    </row>
    <row r="4">
      <c r="A4" s="22" t="s">
        <v>44</v>
      </c>
      <c r="B4" s="23"/>
      <c r="D4" s="24" t="s">
        <v>45</v>
      </c>
      <c r="E4" s="23"/>
      <c r="G4" s="25" t="s">
        <v>46</v>
      </c>
      <c r="H4" s="23"/>
    </row>
    <row r="5">
      <c r="A5" s="26" t="s">
        <v>2</v>
      </c>
      <c r="B5" s="26" t="s">
        <v>47</v>
      </c>
      <c r="G5" s="27" t="s">
        <v>1</v>
      </c>
      <c r="H5" s="28" t="s">
        <v>49</v>
      </c>
    </row>
    <row r="6">
      <c r="A6" s="29" t="s">
        <v>19</v>
      </c>
      <c r="B6" s="30">
        <v>7.0</v>
      </c>
      <c r="G6" s="31" t="s">
        <v>6</v>
      </c>
      <c r="H6" s="32">
        <v>135.0</v>
      </c>
    </row>
    <row r="7">
      <c r="A7" s="33" t="s">
        <v>31</v>
      </c>
      <c r="B7" s="30">
        <v>6.0</v>
      </c>
      <c r="G7" s="31" t="s">
        <v>28</v>
      </c>
      <c r="H7" s="32">
        <v>240.0</v>
      </c>
    </row>
    <row r="8">
      <c r="A8" s="33" t="s">
        <v>9</v>
      </c>
      <c r="B8" s="30">
        <v>5.0</v>
      </c>
      <c r="G8" s="31" t="s">
        <v>10</v>
      </c>
      <c r="H8" s="32">
        <v>230.0</v>
      </c>
    </row>
    <row r="9">
      <c r="A9" s="33" t="s">
        <v>21</v>
      </c>
      <c r="B9" s="30">
        <v>4.0</v>
      </c>
      <c r="G9" s="31" t="s">
        <v>30</v>
      </c>
      <c r="H9" s="32">
        <v>210.0</v>
      </c>
    </row>
    <row r="10">
      <c r="A10" s="33" t="s">
        <v>33</v>
      </c>
      <c r="B10" s="30">
        <v>3.0</v>
      </c>
      <c r="G10" s="31" t="s">
        <v>8</v>
      </c>
      <c r="H10" s="32">
        <v>240.0</v>
      </c>
    </row>
    <row r="11">
      <c r="A11" s="33" t="s">
        <v>15</v>
      </c>
      <c r="B11" s="30">
        <v>2.0</v>
      </c>
      <c r="G11" s="31" t="s">
        <v>24</v>
      </c>
      <c r="H11" s="32">
        <v>1450.0</v>
      </c>
    </row>
    <row r="12">
      <c r="A12" s="33" t="s">
        <v>7</v>
      </c>
      <c r="B12" s="30">
        <v>2.0</v>
      </c>
      <c r="G12" s="31" t="s">
        <v>36</v>
      </c>
      <c r="H12" s="32">
        <v>2240.0</v>
      </c>
    </row>
    <row r="13">
      <c r="A13" s="33" t="s">
        <v>17</v>
      </c>
      <c r="B13" s="30">
        <v>2.0</v>
      </c>
      <c r="G13" s="31" t="s">
        <v>22</v>
      </c>
      <c r="H13" s="32">
        <v>840.0</v>
      </c>
    </row>
    <row r="14">
      <c r="A14" s="33" t="s">
        <v>13</v>
      </c>
      <c r="B14" s="30">
        <v>2.0</v>
      </c>
      <c r="G14" s="31" t="s">
        <v>32</v>
      </c>
      <c r="H14" s="32">
        <v>2800.0</v>
      </c>
    </row>
    <row r="15">
      <c r="A15" s="33" t="s">
        <v>27</v>
      </c>
      <c r="B15" s="30">
        <v>1.0</v>
      </c>
      <c r="G15" s="31" t="s">
        <v>16</v>
      </c>
      <c r="H15" s="32">
        <v>125.0</v>
      </c>
    </row>
    <row r="16">
      <c r="A16" s="33" t="s">
        <v>35</v>
      </c>
      <c r="B16" s="30">
        <v>1.0</v>
      </c>
      <c r="G16" s="31" t="s">
        <v>20</v>
      </c>
      <c r="H16" s="32">
        <v>540.0</v>
      </c>
    </row>
    <row r="17">
      <c r="A17" s="33" t="s">
        <v>29</v>
      </c>
      <c r="B17" s="30">
        <v>1.0</v>
      </c>
      <c r="G17" s="31" t="s">
        <v>12</v>
      </c>
      <c r="H17" s="32">
        <v>980.0</v>
      </c>
    </row>
    <row r="18">
      <c r="A18" s="33" t="s">
        <v>11</v>
      </c>
      <c r="B18" s="30">
        <v>1.0</v>
      </c>
      <c r="G18" s="31" t="s">
        <v>26</v>
      </c>
      <c r="H18" s="32">
        <v>380.0</v>
      </c>
    </row>
    <row r="19">
      <c r="A19" s="33" t="s">
        <v>23</v>
      </c>
      <c r="B19" s="30">
        <v>1.0</v>
      </c>
      <c r="G19" s="31" t="s">
        <v>14</v>
      </c>
      <c r="H19" s="32">
        <v>3200.0</v>
      </c>
    </row>
    <row r="20">
      <c r="A20" s="33" t="s">
        <v>37</v>
      </c>
      <c r="B20" s="30">
        <v>1.0</v>
      </c>
      <c r="G20" s="31" t="s">
        <v>18</v>
      </c>
      <c r="H20" s="32">
        <v>620.0</v>
      </c>
    </row>
    <row r="21">
      <c r="A21" s="33" t="s">
        <v>25</v>
      </c>
      <c r="B21" s="30">
        <v>1.0</v>
      </c>
      <c r="G21" s="31" t="s">
        <v>34</v>
      </c>
      <c r="H21" s="32">
        <v>520.0</v>
      </c>
    </row>
    <row r="22">
      <c r="A22" s="34" t="s">
        <v>5</v>
      </c>
      <c r="B22" s="30">
        <f>SUM(B4:B21)</f>
        <v>40</v>
      </c>
      <c r="G22" s="35" t="s">
        <v>40</v>
      </c>
      <c r="H22" s="36">
        <v>14750.0</v>
      </c>
    </row>
  </sheetData>
  <mergeCells count="3">
    <mergeCell ref="G4:H4"/>
    <mergeCell ref="A4:B4"/>
    <mergeCell ref="D4:E4"/>
  </mergeCells>
  <conditionalFormatting sqref="A6:B21">
    <cfRule type="cellIs" dxfId="8" priority="1" operator="lessThanOrEqual">
      <formula>3</formula>
    </cfRule>
  </conditionalFormatting>
  <conditionalFormatting sqref="A6:B21">
    <cfRule type="cellIs" dxfId="9" priority="2" operator="greaterThanOrEqual">
      <formula>4</formula>
    </cfRule>
  </conditionalFormatting>
  <drawing r:id="rId2"/>
  <tableParts count="2">
    <tablePart r:id="rId5"/>
    <tablePart r:id="rId6"/>
  </tableParts>
</worksheet>
</file>